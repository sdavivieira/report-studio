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5e7caf8ab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çamento" sheetId="1" r:id="R71aad60988eb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a19741e6f41d0" /><Relationship Type="http://schemas.openxmlformats.org/officeDocument/2006/relationships/theme" Target="/xl/theme/theme1.xml" Id="Rd8119620cd26467a" /><Relationship Type="http://schemas.openxmlformats.org/officeDocument/2006/relationships/sharedStrings" Target="/xl/sharedStrings.xml" Id="Rd571be377aba477e" /><Relationship Type="http://schemas.openxmlformats.org/officeDocument/2006/relationships/worksheet" Target="/xl/worksheets/sheet1.xml" Id="R71aad60988eb48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16" hidden="0" customWidth="1"/>
    <x:col min="4" max="4" width="16" hidden="0" customWidth="1"/>
  </x:cols>
  <x:sheetData>
    <x:row r="1">
      <x:c r="A1" s="2" t="str">
        <x:v>Descrição</x:v>
      </x:c>
      <x:c r="B1" s="2" t="str">
        <x:v>Quantidade</x:v>
      </x:c>
      <x:c r="C1" s="2" t="str">
        <x:v>Preço Unitário</x:v>
      </x:c>
      <x:c r="D1" s="2" t="str">
        <x:v>Total</x:v>
      </x:c>
    </x:row>
    <x:row r="2">
      <x:c r="A2" t="str">
        <x:v>Produto A - Categoria Premium</x:v>
      </x:c>
      <x:c r="B2" t="n">
        <x:v>15</x:v>
      </x:c>
      <x:c r="C2" s="4" t="n">
        <x:v>45</x:v>
      </x:c>
      <x:c r="D2" s="4" t="n">
        <x:f>B2*C2</x:f>
        <x:v>675</x:v>
      </x:c>
    </x:row>
    <x:row r="3">
      <x:c r="A3" t="str">
        <x:v>Produto B - Categoria Padrão</x:v>
      </x:c>
      <x:c r="B3" t="n">
        <x:v>30</x:v>
      </x:c>
      <x:c r="C3" s="4" t="n">
        <x:v>28.5</x:v>
      </x:c>
      <x:c r="D3" s="4" t="n">
        <x:f>B3*C3</x:f>
        <x:v>855</x:v>
      </x:c>
    </x:row>
    <x:row r="4">
      <x:c r="A4" t="str">
        <x:v>Serviço de instalação</x:v>
      </x:c>
      <x:c r="B4" t="n">
        <x:v>2</x:v>
      </x:c>
      <x:c r="C4" s="4" t="n">
        <x:v>125</x:v>
      </x:c>
      <x:c r="D4" s="4" t="n">
        <x:f>B4*C4</x:f>
        <x:v>250</x:v>
      </x:c>
    </x:row>
    <x:row r="5">
      <x:c r="A5" t="str">
        <x:v>Garantia estendida (2 anos)</x:v>
      </x:c>
      <x:c r="B5" t="n">
        <x:v>1</x:v>
      </x:c>
      <x:c r="C5" s="4" t="n">
        <x:v>199</x:v>
      </x:c>
      <x:c r="D5" s="4" t="n">
        <x:f>B5*C5</x:f>
        <x:v>199</x:v>
      </x:c>
    </x:row>
    <x:row r="6">
      <x:c r="A6" t="str">
        <x:v>Manutenção trimestral</x:v>
      </x:c>
      <x:c r="B6" t="n">
        <x:v>4</x:v>
      </x:c>
      <x:c r="C6" s="4" t="n">
        <x:v>75</x:v>
      </x:c>
      <x:c r="D6" s="4" t="n">
        <x:f>B6*C6</x:f>
        <x:v>300</x:v>
      </x:c>
    </x:row>
    <x:row r="7">
      <x:c r="C7" s="4"/>
      <x:c r="D7" s="4"/>
    </x:row>
    <x:row r="8">
      <x:c r="C8" s="5" t="str">
        <x:v>Subtotal</x:v>
      </x:c>
      <x:c r="D8" s="4" t="n">
        <x:f>SUM(D2:D6)</x:f>
        <x:v>2279</x:v>
      </x:c>
    </x:row>
    <x:row r="9">
      <x:c r="C9" s="5" t="str">
        <x:v>Desconto (5%)</x:v>
      </x:c>
      <x:c r="D9" s="4" t="n">
        <x:f>D8*5%</x:f>
        <x:v>113.95</x:v>
      </x:c>
    </x:row>
    <x:row r="10">
      <x:c r="C10" s="5" t="str">
        <x:v>Base tributável</x:v>
      </x:c>
      <x:c r="D10" s="4" t="n">
        <x:f>D8-D9</x:f>
        <x:v>2165.05</x:v>
      </x:c>
    </x:row>
    <x:row r="11">
      <x:c r="C11" s="5" t="str">
        <x:v>ICMS (18%)</x:v>
      </x:c>
      <x:c r="D11" s="4" t="n">
        <x:f>D10*18%</x:f>
        <x:v>389.709</x:v>
      </x:c>
    </x:row>
    <x:row r="12">
      <x:c r="C12" s="5" t="str">
        <x:v>Total</x:v>
      </x:c>
      <x:c r="D12" s="4" t="n">
        <x:f>D10+D11</x:f>
        <x:v>2554.759</x:v>
      </x:c>
    </x:row>
  </x:sheetData>
  <x:pageMargins left="0.7" right="0.7" top="0.75" bottom="0.75" header="0.3" footer="0.3"/>
</x:worksheet>
</file>